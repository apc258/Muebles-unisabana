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006027\Downloads\"/>
    </mc:Choice>
  </mc:AlternateContent>
  <bookViews>
    <workbookView xWindow="0" yWindow="0" windowWidth="19200" windowHeight="6610"/>
  </bookViews>
  <sheets>
    <sheet name="Dashboard" sheetId="1" r:id="rId1"/>
    <sheet name="Defectos_Priorizados" sheetId="2" r:id="rId2"/>
    <sheet name="Trazabilidad" sheetId="3" r:id="rId3"/>
    <sheet name="Metricas_Pruebas" sheetId="4" r:id="rId4"/>
    <sheet name="Pruebas_Carga" sheetId="5" r:id="rId5"/>
    <sheet name="Pipeline" sheetId="6" r:id="rId6"/>
    <sheet name="Informe_Tecnico" sheetId="7" r:id="rId7"/>
  </sheets>
  <calcPr calcId="0"/>
  <fileRecoveryPr repairLoad="1"/>
</workbook>
</file>

<file path=xl/sharedStrings.xml><?xml version="1.0" encoding="utf-8"?>
<sst xmlns="http://schemas.openxmlformats.org/spreadsheetml/2006/main" count="387" uniqueCount="232">
  <si>
    <t>Dashboard de calidad - Muebles Unisabana</t>
  </si>
  <si>
    <t>Indicador</t>
  </si>
  <si>
    <t>Valor</t>
  </si>
  <si>
    <t>Analisis</t>
  </si>
  <si>
    <t>Severidad</t>
  </si>
  <si>
    <t>Cantidad</t>
  </si>
  <si>
    <t>Pruebas unitarias/integrales backend</t>
  </si>
  <si>
    <t>11/11</t>
  </si>
  <si>
    <t>CatalogService con 100% de ejecucion exitosa.</t>
  </si>
  <si>
    <t>Media</t>
  </si>
  <si>
    <t>Pruebas frontend</t>
  </si>
  <si>
    <t>8/8</t>
  </si>
  <si>
    <t>Flujos UI y componentes ejecutados sin fallos.</t>
  </si>
  <si>
    <t>Baja</t>
  </si>
  <si>
    <t>Checkout E2E</t>
  </si>
  <si>
    <t>1/1</t>
  </si>
  <si>
    <t>Flujo feliz de compra validado.</t>
  </si>
  <si>
    <t>Alta</t>
  </si>
  <si>
    <t>Defectos cerrados</t>
  </si>
  <si>
    <t>3</t>
  </si>
  <si>
    <t>Defectos reales del repositorio resueltos.</t>
  </si>
  <si>
    <t>Defectos abiertos/riesgos</t>
  </si>
  <si>
    <t>6</t>
  </si>
  <si>
    <t>Riesgos pendientes en inventario, autenticacion, checkout, carga y pipeline.</t>
  </si>
  <si>
    <t>Carga 500 usuarios errorPct</t>
  </si>
  <si>
    <t>41.45%</t>
  </si>
  <si>
    <t>Hallazgo critico de rendimiento en flujo de pago bajo alta carga.</t>
  </si>
  <si>
    <t>Estado</t>
  </si>
  <si>
    <t>Pipeline CI</t>
  </si>
  <si>
    <t>Backend + Frontend</t>
  </si>
  <si>
    <t>Incluye build/test, pero no carga automatizada.</t>
  </si>
  <si>
    <t>Cerrado</t>
  </si>
  <si>
    <t>Abierto</t>
  </si>
  <si>
    <t>Escenario</t>
  </si>
  <si>
    <t>% Error</t>
  </si>
  <si>
    <t>P95 ms</t>
  </si>
  <si>
    <t>FlujoPago_100 usuarios</t>
  </si>
  <si>
    <t>FlujoPago_500 usuarios</t>
  </si>
  <si>
    <t>IngresoUsuarios</t>
  </si>
  <si>
    <t>SeleccionItems</t>
  </si>
  <si>
    <t>ID</t>
  </si>
  <si>
    <t>Servicio</t>
  </si>
  <si>
    <t>Componente</t>
  </si>
  <si>
    <t>Tipo</t>
  </si>
  <si>
    <t>Descripcion</t>
  </si>
  <si>
    <t>Evidencia</t>
  </si>
  <si>
    <t>Prioridad</t>
  </si>
  <si>
    <t>Responsable</t>
  </si>
  <si>
    <t>Fecha hallazgo</t>
  </si>
  <si>
    <t>Criterio de cierre</t>
  </si>
  <si>
    <t>Recomendacion</t>
  </si>
  <si>
    <t>DEF-001</t>
  </si>
  <si>
    <t>CatalogService</t>
  </si>
  <si>
    <t>Persistencia/Integracion</t>
  </si>
  <si>
    <t>Integracion</t>
  </si>
  <si>
    <t>El catalogo dependia directamente de PostgreSQL en Program.cs, dificultando pruebas service-repository.</t>
  </si>
  <si>
    <t>defectos_integracion.md: separacion IProductRepository, ProductCatalogService y CatalogDbProductRepository.</t>
  </si>
  <si>
    <t>Backend</t>
  </si>
  <si>
    <t>2026-06-15</t>
  </si>
  <si>
    <t>Pruebas integrales 11/11 y separacion por capas confirmada.</t>
  </si>
  <si>
    <t>Mantener repositorios desacoplados e inyectables.</t>
  </si>
  <si>
    <t>DEF-002</t>
  </si>
  <si>
    <t>Endpoint de validacion</t>
  </si>
  <si>
    <t>Sistema</t>
  </si>
  <si>
    <t>No existia endpoint controlado para validar respuestas JSON sin tocar base real.</t>
  </si>
  <si>
    <t>defectos_integracion.md: se agrego POST /api/catalog/validate y pruebas 200 OK / 400 BadRequest.</t>
  </si>
  <si>
    <t>Contrato validado con respuestas 200 y 400.</t>
  </si>
  <si>
    <t>Conservar pruebas de contrato para regresion.</t>
  </si>
  <si>
    <t>DEF-003</t>
  </si>
  <si>
    <t>Dominio Product</t>
  </si>
  <si>
    <t>Unitaria</t>
  </si>
  <si>
    <t>La entidad Product no tenia reglas de dominio ejecutables.</t>
  </si>
  <si>
    <t>defectos_integracion.md: Product.Validate() con pruebas de equivalencia y valores limite.</t>
  </si>
  <si>
    <t>Reglas nombre obligatorio, precio mayor a cero y limites validadas.</t>
  </si>
  <si>
    <t>Extender reglas de dominio cuando crezcan atributos del producto.</t>
  </si>
  <si>
    <t>BUG-004</t>
  </si>
  <si>
    <t>InventoryService</t>
  </si>
  <si>
    <t>CRUD Productos</t>
  </si>
  <si>
    <t>Cobertura/Riesgo</t>
  </si>
  <si>
    <t>No se encontro evidencia de pruebas automatizadas para cargue, actualizacion y eliminacion de productos en inventario.</t>
  </si>
  <si>
    <t>Revision del proyecto: endpoints CRUD documentados, sin reporte especifico de pruebas unitarias/integracion.</t>
  </si>
  <si>
    <t>QA/Backend</t>
  </si>
  <si>
    <t>Agregar pruebas unitarias e integracion para POST/PUT/DELETE de productos.</t>
  </si>
  <si>
    <t>Crear suite de pruebas para carga de productos, validando precio, stock y campos obligatorios.</t>
  </si>
  <si>
    <t>BUG-005</t>
  </si>
  <si>
    <t>AuthService</t>
  </si>
  <si>
    <t>Login y autenticacion</t>
  </si>
  <si>
    <t>Seguridad/Riesgo</t>
  </si>
  <si>
    <t>No se encontro evidencia de pruebas de seguridad para login, registro, forgot-password, tokens vencidos o credenciales invalidas.</t>
  </si>
  <si>
    <t>Reporte E2E verifica login exitoso, pero no escenarios negativos de seguridad.</t>
  </si>
  <si>
    <t>QA/Seguridad</t>
  </si>
  <si>
    <t>Agregar pruebas negativas de autenticacion y politicas de bloqueo/expiracion.</t>
  </si>
  <si>
    <t>Cubrir fuerza bruta, JWT expirado, usuario inexistente y contraseñas debiles.</t>
  </si>
  <si>
    <t>BUG-006</t>
  </si>
  <si>
    <t>Checkout</t>
  </si>
  <si>
    <t>Orden/Pago/Factura</t>
  </si>
  <si>
    <t>Integracion/Riesgo</t>
  </si>
  <si>
    <t>El E2E cubre compra exitosa, pero faltan escenarios negativos: pago rechazado, sin stock, timeout entre servicios y factura no generada.</t>
  </si>
  <si>
    <t>reports/checkout-e2e-report.md valida flujo feliz con orden, pago y factura.</t>
  </si>
  <si>
    <t>QA/Integracion</t>
  </si>
  <si>
    <t>Agregar integracion negativa y compensaciones transaccionales.</t>
  </si>
  <si>
    <t>Probar resiliencia, rollback y mensajes de error al usuario.</t>
  </si>
  <si>
    <t>BUG-007</t>
  </si>
  <si>
    <t>Pruebas de carga</t>
  </si>
  <si>
    <t>Flujo de pago 500 usuarios</t>
  </si>
  <si>
    <t>Rendimiento</t>
  </si>
  <si>
    <t>Bajo carga alta el flujo de pago presenta degradacion severa: 468 errores de 1129 muestras, errorPct 41.45%, media 7331.94 ms y p95 21740.5 ms.</t>
  </si>
  <si>
    <t>Pruebas de Carga/Reporte_FlujoPago_500 usuarios/statistics.json Total.</t>
  </si>
  <si>
    <t>Performance</t>
  </si>
  <si>
    <t>Reducir errorPct &lt; 1% y p95 &lt; 2000 ms en 500 usuarios.</t>
  </si>
  <si>
    <t>Optimizar login/seleccion de items y validar escalabilidad de servicios.</t>
  </si>
  <si>
    <t>BUG-008</t>
  </si>
  <si>
    <t>Ingreso Usuarios</t>
  </si>
  <si>
    <t>Ingreso de usuarios sin errores, pero con latencia elevada: media 5808.96 ms y p95 7091.65 ms en 100 muestras.</t>
  </si>
  <si>
    <t>Pruebas de Carga/Reporte_IngresoUsuarios/statistics.json Total.</t>
  </si>
  <si>
    <t>Reducir p95 de login a un umbral aceptable.</t>
  </si>
  <si>
    <t>Revisar consultas, hashing, DB y recursos bajo autenticacion.</t>
  </si>
  <si>
    <t>BUG-009</t>
  </si>
  <si>
    <t>Pipeline CI/CD</t>
  </si>
  <si>
    <t>Ejecucion automatizada</t>
  </si>
  <si>
    <t>Proceso/Riesgo</t>
  </si>
  <si>
    <t>El pipeline ejecuta restore, build, tests backend, tests frontend y build frontend; no se observa etapa automatizada de pruebas de carga ni publicacion de dashboard consolidado.</t>
  </si>
  <si>
    <t>.github/workflows/local-ci.yml.</t>
  </si>
  <si>
    <t>DevOps</t>
  </si>
  <si>
    <t>Agregar job opcional de performance y publicar artefactos de dashboard.</t>
  </si>
  <si>
    <t>Incluir summary de cobertura, defectos y carga como artifact del pipeline.</t>
  </si>
  <si>
    <t>ID Defecto</t>
  </si>
  <si>
    <t>Requisito/Flujo</t>
  </si>
  <si>
    <t>Caso o evidencia</t>
  </si>
  <si>
    <t>Origen</t>
  </si>
  <si>
    <t>Estado inicial</t>
  </si>
  <si>
    <t>Accion realizada/propuesta</t>
  </si>
  <si>
    <t>Validacion</t>
  </si>
  <si>
    <t>Estado final</t>
  </si>
  <si>
    <t>Trazabilidad</t>
  </si>
  <si>
    <t>Defecto real registrado</t>
  </si>
  <si>
    <t>Nuevo</t>
  </si>
  <si>
    <t>Correccion implementada en codigo/pruebas</t>
  </si>
  <si>
    <t>Pruebas exitosas y reporte 11/11</t>
  </si>
  <si>
    <t>Identificacion -&gt; Clasificacion -&gt; Correccion -&gt; Validacion -&gt; Cierre</t>
  </si>
  <si>
    <t>Revision final / riesgo</t>
  </si>
  <si>
    <t>Plan de mitigacion definido</t>
  </si>
  <si>
    <t>Identificacion -&gt; Clasificacion -&gt; Priorizacion -&gt; Pendiente de correccion -&gt; Revalidacion</t>
  </si>
  <si>
    <t>Tipo prueba</t>
  </si>
  <si>
    <t>Ejecutadas</t>
  </si>
  <si>
    <t>Exitosas</t>
  </si>
  <si>
    <t>Fallidas</t>
  </si>
  <si>
    <t>Tasa exito</t>
  </si>
  <si>
    <t>Backend CatalogService</t>
  </si>
  <si>
    <t>Unitarias, integrales y sistema</t>
  </si>
  <si>
    <t>reports/test-summary-report.md y catalog-tests.trx</t>
  </si>
  <si>
    <t>OK: valida Product.Validate, ProductCatalogService e endpoint /api/catalog/validate.</t>
  </si>
  <si>
    <t>Frontend React</t>
  </si>
  <si>
    <t>Componentes, flujos UI y E2E UI</t>
  </si>
  <si>
    <t>reports/test-summary-report.md</t>
  </si>
  <si>
    <t>OK: login, roles, CRUD inventario, ordenes, pagos, carrito y sesion.</t>
  </si>
  <si>
    <t>Flujo completo compra</t>
  </si>
  <si>
    <t>reports/checkout-e2e-report.md</t>
  </si>
  <si>
    <t>OK: login, catalogo, carrito, orden, pago y factura.</t>
  </si>
  <si>
    <t>Pipeline backend</t>
  </si>
  <si>
    <t>CI: restore/build/test</t>
  </si>
  <si>
    <t>.github/workflows/local-ci.yml</t>
  </si>
  <si>
    <t>OK esperado: restore, build y dotnet test.</t>
  </si>
  <si>
    <t>Pipeline frontend</t>
  </si>
  <si>
    <t>CI: npm ci/test/build</t>
  </si>
  <si>
    <t>OK esperado: instalacion, tests y build.</t>
  </si>
  <si>
    <t>Muestras</t>
  </si>
  <si>
    <t>Errores</t>
  </si>
  <si>
    <t>Media ms</t>
  </si>
  <si>
    <t>Mediana ms</t>
  </si>
  <si>
    <t>P90 ms</t>
  </si>
  <si>
    <t>P99 ms</t>
  </si>
  <si>
    <t>Max ms</t>
  </si>
  <si>
    <t>Throughput/s</t>
  </si>
  <si>
    <t>Aceptable</t>
  </si>
  <si>
    <t>Critico</t>
  </si>
  <si>
    <t>Job</t>
  </si>
  <si>
    <t>Etapa</t>
  </si>
  <si>
    <t>Comando/accion</t>
  </si>
  <si>
    <t>Resultado esperado</t>
  </si>
  <si>
    <t>Riesgo asociado</t>
  </si>
  <si>
    <t>Backend .NET</t>
  </si>
  <si>
    <t>actions/checkout@v4</t>
  </si>
  <si>
    <t>Repositorio disponible</t>
  </si>
  <si>
    <t>Bajo</t>
  </si>
  <si>
    <t>Setup .NET</t>
  </si>
  <si>
    <t>actions/setup-dotnet@v4 con dotnet 8.0.x</t>
  </si>
  <si>
    <t>SDK instalado</t>
  </si>
  <si>
    <t>Restore</t>
  </si>
  <si>
    <t>dotnet restore FurnitureStore.sln</t>
  </si>
  <si>
    <t>Dependencias restauradas</t>
  </si>
  <si>
    <t>Medio si falla lock/dependencias</t>
  </si>
  <si>
    <t>Build</t>
  </si>
  <si>
    <t>dotnet build --configuration Release</t>
  </si>
  <si>
    <t>Compilacion exitosa</t>
  </si>
  <si>
    <t>Alto si rompe integracion</t>
  </si>
  <si>
    <t>Test</t>
  </si>
  <si>
    <t>dotnet test --logger trx</t>
  </si>
  <si>
    <t>Pruebas backend ejecutadas y TRX artifact</t>
  </si>
  <si>
    <t>Alto si fallan tests</t>
  </si>
  <si>
    <t>Install</t>
  </si>
  <si>
    <t>npm ci</t>
  </si>
  <si>
    <t>Dependencias Node instaladas</t>
  </si>
  <si>
    <t>Medio si falla package-lock</t>
  </si>
  <si>
    <t>npm test -- --run</t>
  </si>
  <si>
    <t>Pruebas frontend ejecutadas</t>
  </si>
  <si>
    <t>Alto si fallan flujos UI</t>
  </si>
  <si>
    <t>npm run build</t>
  </si>
  <si>
    <t>Build frontend exitoso</t>
  </si>
  <si>
    <t>Alto si falla empaquetado</t>
  </si>
  <si>
    <t>Pipeline</t>
  </si>
  <si>
    <t>Brecha</t>
  </si>
  <si>
    <t>No se observa job de carga/performance</t>
  </si>
  <si>
    <t>Pruebas de carga fuera del CI</t>
  </si>
  <si>
    <t>Medio: resultados performance no bloquean despliegue</t>
  </si>
  <si>
    <t>Seccion</t>
  </si>
  <si>
    <t>Contenido</t>
  </si>
  <si>
    <t>Objetivo</t>
  </si>
  <si>
    <t>Documentar el ciclo de vida del defecto aplicado al proyecto Muebles Unisabana, con defectos priorizados, trazabilidad, metricas de calidad y conclusiones del proceso de validacion.</t>
  </si>
  <si>
    <t>Hallazgos principales</t>
  </si>
  <si>
    <t>Se confirmaron 3 defectos reales cerrados en CatalogService: desacoplamiento de PostgreSQL, endpoint de validacion controlada y reglas de dominio Product.Validate().</t>
  </si>
  <si>
    <t>Riesgos abiertos</t>
  </si>
  <si>
    <t>Se identificaron riesgos en InventoryService, AuthService, checkout, carga de 500 usuarios e integracion del pipeline con pruebas de performance.</t>
  </si>
  <si>
    <t>Pruebas unitarias e integracion</t>
  </si>
  <si>
    <t>Backend 11/11 y frontend 8/8 exitosas. El backend combina unitarias, integrales y sistema para CatalogService.</t>
  </si>
  <si>
    <t>E2E</t>
  </si>
  <si>
    <t>El checkout E2E valida login, catalogo, carrito, orden, pago y factura con resultado 1/1.</t>
  </si>
  <si>
    <t>Carga</t>
  </si>
  <si>
    <t>SeleccionItems tuvo 0% error en 5000 muestras; FlujoPago 100 usuarios tuvo 0% error; FlujoPago 500 usuarios presento 41.45% de error y p95 21740.5 ms, por lo que debe priorizarse.</t>
  </si>
  <si>
    <t>GitHub Actions contiene jobs Backend .NET y Frontend React con restore/build/test y artifacts; falta incorporar carga/performance como control de calidad automatizado.</t>
  </si>
  <si>
    <t>Conclusion</t>
  </si>
  <si>
    <t>El proyecto evidencia estabilidad funcional en pruebas automatizadas, pero requiere ampliar cobertura de seguridad, inventario, escenarios negativos de integracion y pruebas de rendimiento dentro del pipeline.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</si>
</sst>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/>
    <xf numFmtId="10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D9EAD3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Defectos por severidad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Dashboard!$E$4:$E$6</c:f>
              <c:strCache>
                <c:ptCount val="3"/>
                <c:pt idx="0">
                  <c:v>Media</c:v>
                </c:pt>
                <c:pt idx="1">
                  <c:v>Baja</c:v>
                </c:pt>
                <c:pt idx="2">
                  <c:v>Alta</c:v>
                </c:pt>
              </c:strCache>
            </c:strRef>
          </c:cat>
          <c:val>
            <c:numRef>
              <c:f>Dashboard!$F$4:$F$6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10309312"/>
        <c:axId val="-910305504"/>
      </c:barChart>
      <c:catAx>
        <c:axId val="-9103093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910305504"/>
        <c:crosses val="autoZero"/>
        <c:auto val="1"/>
        <c:lblAlgn val="ctr"/>
        <c:lblOffset val="100"/>
        <c:noMultiLvlLbl val="0"/>
      </c:catAx>
      <c:valAx>
        <c:axId val="-91030550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9103093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Defectos por estado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Dashboard!$E$10:$E$11</c:f>
              <c:strCache>
                <c:ptCount val="2"/>
                <c:pt idx="0">
                  <c:v>Cerrado</c:v>
                </c:pt>
                <c:pt idx="1">
                  <c:v>Abierto</c:v>
                </c:pt>
              </c:strCache>
            </c:strRef>
          </c:cat>
          <c:val>
            <c:numRef>
              <c:f>Dashboard!$F$10:$F$11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10303872"/>
        <c:axId val="-910301152"/>
      </c:barChart>
      <c:catAx>
        <c:axId val="-91030387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910301152"/>
        <c:crosses val="autoZero"/>
        <c:auto val="1"/>
        <c:lblAlgn val="ctr"/>
        <c:lblOffset val="100"/>
        <c:noMultiLvlLbl val="0"/>
      </c:catAx>
      <c:valAx>
        <c:axId val="-91030115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91030387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Carga: % error y P95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% Error</c:v>
          </c:tx>
          <c:cat>
            <c:strRef>
              <c:f>Dashboard!$E$15:$E$18</c:f>
              <c:strCache>
                <c:ptCount val="4"/>
                <c:pt idx="0">
                  <c:v>FlujoPago_100 usuarios</c:v>
                </c:pt>
                <c:pt idx="1">
                  <c:v>FlujoPago_500 usuarios</c:v>
                </c:pt>
                <c:pt idx="2">
                  <c:v>IngresoUsuarios</c:v>
                </c:pt>
                <c:pt idx="3">
                  <c:v>SeleccionItems</c:v>
                </c:pt>
              </c:strCache>
            </c:strRef>
          </c:cat>
          <c:val>
            <c:numRef>
              <c:f>Dashboard!$F$15:$F$18</c:f>
              <c:numCache>
                <c:formatCode>0.00%</c:formatCode>
                <c:ptCount val="4"/>
                <c:pt idx="0">
                  <c:v>0</c:v>
                </c:pt>
                <c:pt idx="1">
                  <c:v>0.41452613999999999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P95 ms</c:v>
          </c:tx>
          <c:cat>
            <c:strRef>
              <c:f>Dashboard!$E$15:$E$18</c:f>
              <c:strCache>
                <c:ptCount val="4"/>
                <c:pt idx="0">
                  <c:v>FlujoPago_100 usuarios</c:v>
                </c:pt>
                <c:pt idx="1">
                  <c:v>FlujoPago_500 usuarios</c:v>
                </c:pt>
                <c:pt idx="2">
                  <c:v>IngresoUsuarios</c:v>
                </c:pt>
                <c:pt idx="3">
                  <c:v>SeleccionItems</c:v>
                </c:pt>
              </c:strCache>
            </c:strRef>
          </c:cat>
          <c:val>
            <c:numRef>
              <c:f>Dashboard!$G$15:$G$18</c:f>
              <c:numCache>
                <c:formatCode>0.00</c:formatCode>
                <c:ptCount val="4"/>
                <c:pt idx="0">
                  <c:v>629.94999999999993</c:v>
                </c:pt>
                <c:pt idx="1">
                  <c:v>21740.5</c:v>
                </c:pt>
                <c:pt idx="2">
                  <c:v>7091.65</c:v>
                </c:pt>
                <c:pt idx="3">
                  <c:v>628.94999999999982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0864592"/>
        <c:axId val="-910857520"/>
      </c:lineChart>
      <c:catAx>
        <c:axId val="-91086459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910857520"/>
        <c:crosses val="autoZero"/>
        <c:auto val="1"/>
        <c:lblAlgn val="ctr"/>
        <c:lblOffset val="100"/>
        <c:noMultiLvlLbl val="0"/>
      </c:catAx>
      <c:valAx>
        <c:axId val="-91085752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-91086459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Defectos" displayName="TablaDefectos" ref="A1:M10">
  <tableColumns count="13">
    <tableColumn id="1" name="ID"/>
    <tableColumn id="2" name="Servicio"/>
    <tableColumn id="3" name="Componente"/>
    <tableColumn id="4" name="Tipo"/>
    <tableColumn id="5" name="Descripcion"/>
    <tableColumn id="6" name="Evidencia"/>
    <tableColumn id="7" name="Severidad"/>
    <tableColumn id="8" name="Prioridad"/>
    <tableColumn id="9" name="Estado"/>
    <tableColumn id="10" name="Responsable"/>
    <tableColumn id="11" name="Fecha hallazgo"/>
    <tableColumn id="12" name="Criterio de cierre"/>
    <tableColumn id="13" name="Recomend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Trazabilidad" displayName="TablaTrazabilidad" ref="A1:I10">
  <tableColumns count="9">
    <tableColumn id="1" name="ID Defecto"/>
    <tableColumn id="2" name="Requisito/Flujo"/>
    <tableColumn id="3" name="Caso o evidencia"/>
    <tableColumn id="4" name="Origen"/>
    <tableColumn id="5" name="Estado inicial"/>
    <tableColumn id="6" name="Accion realizada/propuesta"/>
    <tableColumn id="7" name="Validacion"/>
    <tableColumn id="8" name="Estado final"/>
    <tableColumn id="9" name="Trazabil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Pruebas" displayName="TablaPruebas" ref="A1:H6">
  <tableColumns count="8">
    <tableColumn id="1" name="Componente"/>
    <tableColumn id="2" name="Tipo prueba"/>
    <tableColumn id="3" name="Ejecutadas"/>
    <tableColumn id="4" name="Exitosas"/>
    <tableColumn id="5" name="Fallidas"/>
    <tableColumn id="6" name="Tasa exito"/>
    <tableColumn id="7" name="Evidencia"/>
    <tableColumn id="8" name="Analis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Carga" displayName="TablaCarga" ref="A1:L5">
  <tableColumns count="12">
    <tableColumn id="1" name="Escenario"/>
    <tableColumn id="2" name="Muestras"/>
    <tableColumn id="3" name="Errores"/>
    <tableColumn id="4" name="% Error"/>
    <tableColumn id="5" name="Media ms"/>
    <tableColumn id="6" name="Mediana ms"/>
    <tableColumn id="7" name="P90 ms"/>
    <tableColumn id="8" name="P95 ms"/>
    <tableColumn id="9" name="P99 ms"/>
    <tableColumn id="10" name="Max ms"/>
    <tableColumn id="11" name="Throughput/s"/>
    <tableColumn id="12" name="Anali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Pipeline" displayName="TablaPipeline" ref="A1:F10">
  <tableColumns count="6">
    <tableColumn id="1" name="Job"/>
    <tableColumn id="2" name="Etapa"/>
    <tableColumn id="3" name="Comando/accion"/>
    <tableColumn id="4" name="Resultado esperado"/>
    <tableColumn id="5" name="Evidencia"/>
    <tableColumn id="6" name="Riesgo asoci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zoomScale="76" zoomScaleNormal="76" workbookViewId="0">
      <selection sqref="A1:L1"/>
    </sheetView>
  </sheetViews>
  <sheetFormatPr baseColWidth="10" defaultColWidth="8.6640625" defaultRowHeight="14"/>
  <cols>
    <col min="1" max="1" width="32" customWidth="1"/>
    <col min="2" max="2" width="18" customWidth="1"/>
    <col min="3" max="3" width="48" customWidth="1"/>
    <col min="5" max="7" width="18" customWidth="1"/>
  </cols>
  <sheetData>
    <row r="1" spans="1:12" ht="22.4" customHeight="1">
      <c r="A1" s="5" t="s">
        <v>0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</row>
    <row r="3" spans="1:12">
      <c r="A3" s="1" t="s">
        <v>1</v>
      </c>
      <c r="B3" s="1" t="s">
        <v>2</v>
      </c>
      <c r="C3" s="1" t="s">
        <v>3</v>
      </c>
      <c r="E3" s="1" t="s">
        <v>4</v>
      </c>
      <c r="F3" s="1" t="s">
        <v>5</v>
      </c>
    </row>
    <row r="4" spans="1:12">
      <c r="A4" t="s">
        <v>6</v>
      </c>
      <c r="B4" t="s">
        <v>7</v>
      </c>
      <c r="C4" t="s">
        <v>8</v>
      </c>
      <c r="E4" t="s">
        <v>9</v>
      </c>
      <c r="F4">
        <v>5</v>
      </c>
    </row>
    <row r="5" spans="1:12">
      <c r="A5" t="s">
        <v>10</v>
      </c>
      <c r="B5" t="s">
        <v>11</v>
      </c>
      <c r="C5" t="s">
        <v>12</v>
      </c>
      <c r="E5" t="s">
        <v>13</v>
      </c>
      <c r="F5">
        <v>1</v>
      </c>
    </row>
    <row r="6" spans="1:12">
      <c r="A6" t="s">
        <v>14</v>
      </c>
      <c r="B6" t="s">
        <v>15</v>
      </c>
      <c r="C6" t="s">
        <v>16</v>
      </c>
      <c r="E6" t="s">
        <v>17</v>
      </c>
      <c r="F6">
        <v>3</v>
      </c>
    </row>
    <row r="7" spans="1:12">
      <c r="A7" t="s">
        <v>18</v>
      </c>
      <c r="B7" t="s">
        <v>19</v>
      </c>
      <c r="C7" t="s">
        <v>20</v>
      </c>
    </row>
    <row r="8" spans="1:12">
      <c r="A8" t="s">
        <v>21</v>
      </c>
      <c r="B8" t="s">
        <v>22</v>
      </c>
      <c r="C8" t="s">
        <v>23</v>
      </c>
    </row>
    <row r="9" spans="1:12">
      <c r="A9" t="s">
        <v>24</v>
      </c>
      <c r="B9" t="s">
        <v>25</v>
      </c>
      <c r="C9" t="s">
        <v>26</v>
      </c>
      <c r="E9" s="1" t="s">
        <v>27</v>
      </c>
      <c r="F9" s="1" t="s">
        <v>5</v>
      </c>
    </row>
    <row r="10" spans="1:12">
      <c r="A10" t="s">
        <v>28</v>
      </c>
      <c r="B10" t="s">
        <v>29</v>
      </c>
      <c r="C10" t="s">
        <v>30</v>
      </c>
      <c r="E10" t="s">
        <v>31</v>
      </c>
      <c r="F10">
        <v>3</v>
      </c>
    </row>
    <row r="11" spans="1:12">
      <c r="E11" t="s">
        <v>32</v>
      </c>
      <c r="F11">
        <v>6</v>
      </c>
    </row>
    <row r="14" spans="1:12">
      <c r="E14" s="1" t="s">
        <v>33</v>
      </c>
      <c r="F14" s="1" t="s">
        <v>34</v>
      </c>
      <c r="G14" s="1" t="s">
        <v>35</v>
      </c>
    </row>
    <row r="15" spans="1:12">
      <c r="E15" t="s">
        <v>36</v>
      </c>
      <c r="F15" s="3">
        <v>0</v>
      </c>
      <c r="G15" s="4">
        <v>629.94999999999993</v>
      </c>
    </row>
    <row r="16" spans="1:12">
      <c r="E16" t="s">
        <v>37</v>
      </c>
      <c r="F16" s="3">
        <v>0.41452613999999999</v>
      </c>
      <c r="G16" s="4">
        <v>21740.5</v>
      </c>
    </row>
    <row r="17" spans="5:7">
      <c r="E17" t="s">
        <v>38</v>
      </c>
      <c r="F17" s="3">
        <v>0</v>
      </c>
      <c r="G17" s="4">
        <v>7091.65</v>
      </c>
    </row>
    <row r="18" spans="5:7">
      <c r="E18" t="s">
        <v>39</v>
      </c>
      <c r="F18" s="3">
        <v>0</v>
      </c>
      <c r="G18" s="4">
        <v>628.94999999999982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baseColWidth="10" defaultColWidth="8.6640625" defaultRowHeight="14"/>
  <cols>
    <col min="1" max="1" width="12" customWidth="1"/>
    <col min="2" max="4" width="18" customWidth="1"/>
    <col min="5" max="6" width="36" customWidth="1"/>
    <col min="7" max="9" width="12" customWidth="1"/>
    <col min="10" max="13" width="26" customWidth="1"/>
  </cols>
  <sheetData>
    <row r="1" spans="1:13" ht="10" customHeigh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</v>
      </c>
      <c r="H1" s="1" t="s">
        <v>46</v>
      </c>
      <c r="I1" s="1" t="s">
        <v>27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9</v>
      </c>
      <c r="H2" t="s">
        <v>17</v>
      </c>
      <c r="I2" t="s">
        <v>31</v>
      </c>
      <c r="J2" t="s">
        <v>57</v>
      </c>
      <c r="K2" t="s">
        <v>58</v>
      </c>
      <c r="L2" t="s">
        <v>59</v>
      </c>
      <c r="M2" t="s">
        <v>60</v>
      </c>
    </row>
    <row r="3" spans="1:13">
      <c r="A3" t="s">
        <v>61</v>
      </c>
      <c r="B3" t="s">
        <v>52</v>
      </c>
      <c r="C3" t="s">
        <v>62</v>
      </c>
      <c r="D3" t="s">
        <v>63</v>
      </c>
      <c r="E3" t="s">
        <v>64</v>
      </c>
      <c r="F3" t="s">
        <v>65</v>
      </c>
      <c r="G3" t="s">
        <v>9</v>
      </c>
      <c r="H3" t="s">
        <v>17</v>
      </c>
      <c r="I3" t="s">
        <v>31</v>
      </c>
      <c r="J3" t="s">
        <v>57</v>
      </c>
      <c r="K3" t="s">
        <v>58</v>
      </c>
      <c r="L3" t="s">
        <v>66</v>
      </c>
      <c r="M3" t="s">
        <v>67</v>
      </c>
    </row>
    <row r="4" spans="1:13">
      <c r="A4" t="s">
        <v>68</v>
      </c>
      <c r="B4" t="s">
        <v>52</v>
      </c>
      <c r="C4" t="s">
        <v>69</v>
      </c>
      <c r="D4" t="s">
        <v>70</v>
      </c>
      <c r="E4" t="s">
        <v>71</v>
      </c>
      <c r="F4" t="s">
        <v>72</v>
      </c>
      <c r="G4" t="s">
        <v>13</v>
      </c>
      <c r="H4" t="s">
        <v>9</v>
      </c>
      <c r="I4" t="s">
        <v>31</v>
      </c>
      <c r="J4" t="s">
        <v>57</v>
      </c>
      <c r="K4" t="s">
        <v>58</v>
      </c>
      <c r="L4" t="s">
        <v>73</v>
      </c>
      <c r="M4" t="s">
        <v>74</v>
      </c>
    </row>
    <row r="5" spans="1:13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9</v>
      </c>
      <c r="H5" t="s">
        <v>17</v>
      </c>
      <c r="I5" t="s">
        <v>32</v>
      </c>
      <c r="J5" t="s">
        <v>81</v>
      </c>
      <c r="K5" t="s">
        <v>58</v>
      </c>
      <c r="L5" t="s">
        <v>82</v>
      </c>
      <c r="M5" t="s">
        <v>83</v>
      </c>
    </row>
    <row r="6" spans="1:13">
      <c r="A6" t="s">
        <v>84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17</v>
      </c>
      <c r="H6" t="s">
        <v>17</v>
      </c>
      <c r="I6" t="s">
        <v>32</v>
      </c>
      <c r="J6" t="s">
        <v>90</v>
      </c>
      <c r="K6" t="s">
        <v>58</v>
      </c>
      <c r="L6" t="s">
        <v>91</v>
      </c>
      <c r="M6" t="s">
        <v>92</v>
      </c>
    </row>
    <row r="7" spans="1:13">
      <c r="A7" t="s">
        <v>93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17</v>
      </c>
      <c r="H7" t="s">
        <v>9</v>
      </c>
      <c r="I7" t="s">
        <v>32</v>
      </c>
      <c r="J7" t="s">
        <v>99</v>
      </c>
      <c r="K7" t="s">
        <v>58</v>
      </c>
      <c r="L7" t="s">
        <v>100</v>
      </c>
      <c r="M7" t="s">
        <v>101</v>
      </c>
    </row>
    <row r="8" spans="1:13">
      <c r="A8" t="s">
        <v>102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17</v>
      </c>
      <c r="H8" t="s">
        <v>17</v>
      </c>
      <c r="I8" t="s">
        <v>32</v>
      </c>
      <c r="J8" t="s">
        <v>108</v>
      </c>
      <c r="K8" t="s">
        <v>58</v>
      </c>
      <c r="L8" t="s">
        <v>109</v>
      </c>
      <c r="M8" t="s">
        <v>110</v>
      </c>
    </row>
    <row r="9" spans="1:13">
      <c r="A9" t="s">
        <v>111</v>
      </c>
      <c r="B9" t="s">
        <v>103</v>
      </c>
      <c r="C9" t="s">
        <v>112</v>
      </c>
      <c r="D9" t="s">
        <v>105</v>
      </c>
      <c r="E9" t="s">
        <v>113</v>
      </c>
      <c r="F9" t="s">
        <v>114</v>
      </c>
      <c r="G9" t="s">
        <v>9</v>
      </c>
      <c r="H9" t="s">
        <v>9</v>
      </c>
      <c r="I9" t="s">
        <v>32</v>
      </c>
      <c r="J9" t="s">
        <v>108</v>
      </c>
      <c r="K9" t="s">
        <v>58</v>
      </c>
      <c r="L9" t="s">
        <v>115</v>
      </c>
      <c r="M9" t="s">
        <v>116</v>
      </c>
    </row>
    <row r="10" spans="1:13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9</v>
      </c>
      <c r="H10" t="s">
        <v>9</v>
      </c>
      <c r="I10" t="s">
        <v>32</v>
      </c>
      <c r="J10" t="s">
        <v>123</v>
      </c>
      <c r="K10" t="s">
        <v>58</v>
      </c>
      <c r="L10" t="s">
        <v>124</v>
      </c>
      <c r="M10" t="s">
        <v>125</v>
      </c>
    </row>
  </sheetData>
  <conditionalFormatting sqref="G2:G10">
    <cfRule type="expression" dxfId="2" priority="1">
      <formula>G2="Alta"</formula>
    </cfRule>
  </conditionalFormatting>
  <conditionalFormatting sqref="I2:I10">
    <cfRule type="expression" dxfId="1" priority="2">
      <formula>I2="Abierto"</formula>
    </cfRule>
    <cfRule type="expression" dxfId="0" priority="3">
      <formula>I2="Cerrado"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baseColWidth="10" defaultColWidth="8.6640625" defaultRowHeight="14"/>
  <cols>
    <col min="1" max="1" width="12" customWidth="1"/>
    <col min="2" max="9" width="28" customWidth="1"/>
  </cols>
  <sheetData>
    <row r="1" spans="1:9" ht="10" customHeight="1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>
      <c r="A2" t="s">
        <v>51</v>
      </c>
      <c r="B2" t="s">
        <v>53</v>
      </c>
      <c r="C2" t="s">
        <v>56</v>
      </c>
      <c r="D2" t="s">
        <v>135</v>
      </c>
      <c r="E2" t="s">
        <v>136</v>
      </c>
      <c r="F2" t="s">
        <v>137</v>
      </c>
      <c r="G2" t="s">
        <v>138</v>
      </c>
      <c r="H2" t="s">
        <v>31</v>
      </c>
      <c r="I2" t="s">
        <v>139</v>
      </c>
    </row>
    <row r="3" spans="1:9">
      <c r="A3" t="s">
        <v>61</v>
      </c>
      <c r="B3" t="s">
        <v>62</v>
      </c>
      <c r="C3" t="s">
        <v>65</v>
      </c>
      <c r="D3" t="s">
        <v>135</v>
      </c>
      <c r="E3" t="s">
        <v>136</v>
      </c>
      <c r="F3" t="s">
        <v>137</v>
      </c>
      <c r="G3" t="s">
        <v>138</v>
      </c>
      <c r="H3" t="s">
        <v>31</v>
      </c>
      <c r="I3" t="s">
        <v>139</v>
      </c>
    </row>
    <row r="4" spans="1:9">
      <c r="A4" t="s">
        <v>68</v>
      </c>
      <c r="B4" t="s">
        <v>69</v>
      </c>
      <c r="C4" t="s">
        <v>72</v>
      </c>
      <c r="D4" t="s">
        <v>135</v>
      </c>
      <c r="E4" t="s">
        <v>136</v>
      </c>
      <c r="F4" t="s">
        <v>137</v>
      </c>
      <c r="G4" t="s">
        <v>138</v>
      </c>
      <c r="H4" t="s">
        <v>31</v>
      </c>
      <c r="I4" t="s">
        <v>139</v>
      </c>
    </row>
    <row r="5" spans="1:9">
      <c r="A5" t="s">
        <v>75</v>
      </c>
      <c r="B5" t="s">
        <v>77</v>
      </c>
      <c r="C5" t="s">
        <v>80</v>
      </c>
      <c r="D5" t="s">
        <v>140</v>
      </c>
      <c r="E5" t="s">
        <v>32</v>
      </c>
      <c r="F5" t="s">
        <v>141</v>
      </c>
      <c r="G5" t="s">
        <v>82</v>
      </c>
      <c r="H5" t="s">
        <v>32</v>
      </c>
      <c r="I5" t="s">
        <v>142</v>
      </c>
    </row>
    <row r="6" spans="1:9">
      <c r="A6" t="s">
        <v>84</v>
      </c>
      <c r="B6" t="s">
        <v>86</v>
      </c>
      <c r="C6" t="s">
        <v>89</v>
      </c>
      <c r="D6" t="s">
        <v>140</v>
      </c>
      <c r="E6" t="s">
        <v>32</v>
      </c>
      <c r="F6" t="s">
        <v>141</v>
      </c>
      <c r="G6" t="s">
        <v>91</v>
      </c>
      <c r="H6" t="s">
        <v>32</v>
      </c>
      <c r="I6" t="s">
        <v>142</v>
      </c>
    </row>
    <row r="7" spans="1:9">
      <c r="A7" t="s">
        <v>93</v>
      </c>
      <c r="B7" t="s">
        <v>95</v>
      </c>
      <c r="C7" t="s">
        <v>98</v>
      </c>
      <c r="D7" t="s">
        <v>140</v>
      </c>
      <c r="E7" t="s">
        <v>32</v>
      </c>
      <c r="F7" t="s">
        <v>141</v>
      </c>
      <c r="G7" t="s">
        <v>100</v>
      </c>
      <c r="H7" t="s">
        <v>32</v>
      </c>
      <c r="I7" t="s">
        <v>142</v>
      </c>
    </row>
    <row r="8" spans="1:9">
      <c r="A8" t="s">
        <v>102</v>
      </c>
      <c r="B8" t="s">
        <v>104</v>
      </c>
      <c r="C8" t="s">
        <v>107</v>
      </c>
      <c r="D8" t="s">
        <v>140</v>
      </c>
      <c r="E8" t="s">
        <v>32</v>
      </c>
      <c r="F8" t="s">
        <v>141</v>
      </c>
      <c r="G8" t="s">
        <v>109</v>
      </c>
      <c r="H8" t="s">
        <v>32</v>
      </c>
      <c r="I8" t="s">
        <v>142</v>
      </c>
    </row>
    <row r="9" spans="1:9">
      <c r="A9" t="s">
        <v>111</v>
      </c>
      <c r="B9" t="s">
        <v>112</v>
      </c>
      <c r="C9" t="s">
        <v>114</v>
      </c>
      <c r="D9" t="s">
        <v>140</v>
      </c>
      <c r="E9" t="s">
        <v>32</v>
      </c>
      <c r="F9" t="s">
        <v>141</v>
      </c>
      <c r="G9" t="s">
        <v>115</v>
      </c>
      <c r="H9" t="s">
        <v>32</v>
      </c>
      <c r="I9" t="s">
        <v>142</v>
      </c>
    </row>
    <row r="10" spans="1:9">
      <c r="A10" t="s">
        <v>117</v>
      </c>
      <c r="B10" t="s">
        <v>119</v>
      </c>
      <c r="C10" t="s">
        <v>122</v>
      </c>
      <c r="D10" t="s">
        <v>140</v>
      </c>
      <c r="E10" t="s">
        <v>32</v>
      </c>
      <c r="F10" t="s">
        <v>141</v>
      </c>
      <c r="G10" t="s">
        <v>124</v>
      </c>
      <c r="H10" t="s">
        <v>32</v>
      </c>
      <c r="I10" t="s">
        <v>142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baseColWidth="10" defaultColWidth="8.6640625" defaultRowHeight="14"/>
  <cols>
    <col min="1" max="2" width="22" customWidth="1"/>
    <col min="3" max="6" width="12" customWidth="1"/>
    <col min="7" max="8" width="32" customWidth="1"/>
  </cols>
  <sheetData>
    <row r="1" spans="1:8" ht="10" customHeight="1">
      <c r="A1" s="1" t="s">
        <v>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45</v>
      </c>
      <c r="H1" s="1" t="s">
        <v>3</v>
      </c>
    </row>
    <row r="2" spans="1:8">
      <c r="A2" t="s">
        <v>148</v>
      </c>
      <c r="B2" t="s">
        <v>149</v>
      </c>
      <c r="C2">
        <v>11</v>
      </c>
      <c r="D2">
        <v>11</v>
      </c>
      <c r="E2">
        <v>0</v>
      </c>
      <c r="F2" s="2">
        <v>1</v>
      </c>
      <c r="G2" t="s">
        <v>150</v>
      </c>
      <c r="H2" t="s">
        <v>151</v>
      </c>
    </row>
    <row r="3" spans="1:8">
      <c r="A3" t="s">
        <v>152</v>
      </c>
      <c r="B3" t="s">
        <v>153</v>
      </c>
      <c r="C3">
        <v>8</v>
      </c>
      <c r="D3">
        <v>8</v>
      </c>
      <c r="E3">
        <v>0</v>
      </c>
      <c r="F3" s="2">
        <v>1</v>
      </c>
      <c r="G3" t="s">
        <v>154</v>
      </c>
      <c r="H3" t="s">
        <v>155</v>
      </c>
    </row>
    <row r="4" spans="1:8">
      <c r="A4" t="s">
        <v>14</v>
      </c>
      <c r="B4" t="s">
        <v>156</v>
      </c>
      <c r="C4">
        <v>1</v>
      </c>
      <c r="D4">
        <v>1</v>
      </c>
      <c r="E4">
        <v>0</v>
      </c>
      <c r="F4" s="2">
        <v>1</v>
      </c>
      <c r="G4" t="s">
        <v>157</v>
      </c>
      <c r="H4" t="s">
        <v>158</v>
      </c>
    </row>
    <row r="5" spans="1:8">
      <c r="A5" t="s">
        <v>159</v>
      </c>
      <c r="B5" t="s">
        <v>160</v>
      </c>
      <c r="C5">
        <v>3</v>
      </c>
      <c r="D5">
        <v>3</v>
      </c>
      <c r="E5">
        <v>0</v>
      </c>
      <c r="F5" s="2">
        <v>1</v>
      </c>
      <c r="G5" t="s">
        <v>161</v>
      </c>
      <c r="H5" t="s">
        <v>162</v>
      </c>
    </row>
    <row r="6" spans="1:8">
      <c r="A6" t="s">
        <v>163</v>
      </c>
      <c r="B6" t="s">
        <v>164</v>
      </c>
      <c r="C6">
        <v>3</v>
      </c>
      <c r="D6">
        <v>3</v>
      </c>
      <c r="E6">
        <v>0</v>
      </c>
      <c r="F6" s="2">
        <v>1</v>
      </c>
      <c r="G6" t="s">
        <v>161</v>
      </c>
      <c r="H6" t="s">
        <v>165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baseColWidth="10" defaultColWidth="8.6640625" defaultRowHeight="14"/>
  <cols>
    <col min="1" max="1" width="28" customWidth="1"/>
    <col min="2" max="11" width="12" customWidth="1"/>
    <col min="12" max="12" width="18" customWidth="1"/>
  </cols>
  <sheetData>
    <row r="1" spans="1:12" ht="10" customHeight="1">
      <c r="A1" s="1" t="s">
        <v>33</v>
      </c>
      <c r="B1" s="1" t="s">
        <v>166</v>
      </c>
      <c r="C1" s="1" t="s">
        <v>167</v>
      </c>
      <c r="D1" s="1" t="s">
        <v>34</v>
      </c>
      <c r="E1" s="1" t="s">
        <v>168</v>
      </c>
      <c r="F1" s="1" t="s">
        <v>169</v>
      </c>
      <c r="G1" s="1" t="s">
        <v>170</v>
      </c>
      <c r="H1" s="1" t="s">
        <v>35</v>
      </c>
      <c r="I1" s="1" t="s">
        <v>171</v>
      </c>
      <c r="J1" s="1" t="s">
        <v>172</v>
      </c>
      <c r="K1" s="1" t="s">
        <v>173</v>
      </c>
      <c r="L1" s="1" t="s">
        <v>3</v>
      </c>
    </row>
    <row r="2" spans="1:12">
      <c r="A2" t="s">
        <v>36</v>
      </c>
      <c r="B2">
        <v>1000</v>
      </c>
      <c r="C2">
        <v>0</v>
      </c>
      <c r="D2" s="3">
        <v>0</v>
      </c>
      <c r="E2" s="4">
        <v>227.74700000000024</v>
      </c>
      <c r="F2" s="4">
        <v>158</v>
      </c>
      <c r="G2" s="4">
        <v>501.9</v>
      </c>
      <c r="H2" s="4">
        <v>629.94999999999993</v>
      </c>
      <c r="I2" s="4">
        <v>762</v>
      </c>
      <c r="J2" s="4">
        <v>1366</v>
      </c>
      <c r="K2" s="4">
        <v>1.7683434688886492</v>
      </c>
      <c r="L2" t="s">
        <v>174</v>
      </c>
    </row>
    <row r="3" spans="1:12">
      <c r="A3" t="s">
        <v>37</v>
      </c>
      <c r="B3">
        <v>1129</v>
      </c>
      <c r="C3">
        <v>468</v>
      </c>
      <c r="D3" s="3">
        <v>41.452613999999997</v>
      </c>
      <c r="E3" s="4">
        <v>7331.9397697077038</v>
      </c>
      <c r="F3" s="4">
        <v>2788</v>
      </c>
      <c r="G3" s="4">
        <v>21471</v>
      </c>
      <c r="H3" s="4">
        <v>21740.5</v>
      </c>
      <c r="I3" s="4">
        <v>22086.5</v>
      </c>
      <c r="J3" s="4">
        <v>22239</v>
      </c>
      <c r="K3" s="4">
        <v>21.649919459998465</v>
      </c>
      <c r="L3" t="s">
        <v>175</v>
      </c>
    </row>
    <row r="4" spans="1:12">
      <c r="A4" t="s">
        <v>38</v>
      </c>
      <c r="B4">
        <v>100</v>
      </c>
      <c r="C4">
        <v>0</v>
      </c>
      <c r="D4" s="3">
        <v>0</v>
      </c>
      <c r="E4" s="4">
        <v>5808.96</v>
      </c>
      <c r="F4" s="4">
        <v>5383.5</v>
      </c>
      <c r="G4" s="4">
        <v>7023.5</v>
      </c>
      <c r="H4" s="4">
        <v>7091.65</v>
      </c>
      <c r="I4" s="4">
        <v>7459.4199999999983</v>
      </c>
      <c r="J4" s="4">
        <v>7463</v>
      </c>
      <c r="K4" s="4">
        <v>11.424654404204274</v>
      </c>
      <c r="L4" t="s">
        <v>175</v>
      </c>
    </row>
    <row r="5" spans="1:12">
      <c r="A5" t="s">
        <v>39</v>
      </c>
      <c r="B5">
        <v>5000</v>
      </c>
      <c r="C5">
        <v>0</v>
      </c>
      <c r="D5" s="3">
        <v>0</v>
      </c>
      <c r="E5" s="4">
        <v>262.29260000000113</v>
      </c>
      <c r="F5" s="4">
        <v>151</v>
      </c>
      <c r="G5" s="4">
        <v>521</v>
      </c>
      <c r="H5" s="4">
        <v>628.94999999999982</v>
      </c>
      <c r="I5" s="4">
        <v>1026.9399999999987</v>
      </c>
      <c r="J5" s="4">
        <v>6078</v>
      </c>
      <c r="K5" s="4">
        <v>37.485474378678262</v>
      </c>
      <c r="L5" t="s">
        <v>174</v>
      </c>
    </row>
  </sheetData>
  <conditionalFormatting sqref="D2:D5">
    <cfRule type="dataBar" priority="1">
      <dataBar>
        <cfvo type="min"/>
        <cfvo type="max"/>
        <color rgb="FFC00000"/>
      </dataBar>
    </cfRule>
  </conditionalFormatting>
  <conditionalFormatting sqref="H2:H5">
    <cfRule type="dataBar" priority="2">
      <dataBar>
        <cfvo type="min"/>
        <cfvo type="max"/>
        <color rgb="FFED7D31"/>
      </dataBar>
    </cfRule>
  </conditionalFormatting>
  <conditionalFormatting sqref="D2:D5">
    <cfRule type="dataBar" priority="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{8497F363-5AF7-AE8B-07E2-094619D83BD8}</x14:id>
        </ext>
      </extLst>
    </cfRule>
  </conditionalFormatting>
  <conditionalFormatting sqref="H2:H5">
    <cfRule type="dataBar" priority="4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{4793ECE0-0827-1BF1-1DB6-17116D244756}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97F363-5AF7-AE8B-07E2-094619D83BD8}">
            <x14:dataBar>
              <x14:cfvo type="min"/>
              <x14:cfvo type="max"/>
              <x14:negativeFillColor auto="1"/>
              <x14:axisColor auto="1"/>
            </x14:dataBar>
          </x14:cfRule>
          <xm:sqref>D2:D5</xm:sqref>
        </x14:conditionalFormatting>
        <x14:conditionalFormatting xmlns:xm="http://schemas.microsoft.com/office/excel/2006/main">
          <x14:cfRule type="dataBar" id="{4793ECE0-0827-1BF1-1DB6-17116D244756}">
            <x14:dataBar>
              <x14:cfvo type="min"/>
              <x14:cfvo type="max"/>
              <x14:negativeFillColor auto="1"/>
              <x14:axisColor auto="1"/>
            </x14:dataBar>
          </x14:cfRule>
          <xm:sqref>H2:H5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baseColWidth="10" defaultColWidth="8.6640625" defaultRowHeight="14"/>
  <cols>
    <col min="1" max="1" width="18" customWidth="1"/>
    <col min="2" max="6" width="26" customWidth="1"/>
  </cols>
  <sheetData>
    <row r="1" spans="1:6" ht="10" customHeight="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45</v>
      </c>
      <c r="F1" s="1" t="s">
        <v>180</v>
      </c>
    </row>
    <row r="2" spans="1:6">
      <c r="A2" t="s">
        <v>181</v>
      </c>
      <c r="B2" t="s">
        <v>94</v>
      </c>
      <c r="C2" t="s">
        <v>182</v>
      </c>
      <c r="D2" t="s">
        <v>183</v>
      </c>
      <c r="E2" t="s">
        <v>161</v>
      </c>
      <c r="F2" t="s">
        <v>184</v>
      </c>
    </row>
    <row r="3" spans="1:6">
      <c r="A3" t="s">
        <v>181</v>
      </c>
      <c r="B3" t="s">
        <v>185</v>
      </c>
      <c r="C3" t="s">
        <v>186</v>
      </c>
      <c r="D3" t="s">
        <v>187</v>
      </c>
      <c r="E3" t="s">
        <v>161</v>
      </c>
      <c r="F3" t="s">
        <v>184</v>
      </c>
    </row>
    <row r="4" spans="1:6">
      <c r="A4" t="s">
        <v>181</v>
      </c>
      <c r="B4" t="s">
        <v>188</v>
      </c>
      <c r="C4" t="s">
        <v>189</v>
      </c>
      <c r="D4" t="s">
        <v>190</v>
      </c>
      <c r="E4" t="s">
        <v>161</v>
      </c>
      <c r="F4" t="s">
        <v>191</v>
      </c>
    </row>
    <row r="5" spans="1:6">
      <c r="A5" t="s">
        <v>181</v>
      </c>
      <c r="B5" t="s">
        <v>192</v>
      </c>
      <c r="C5" t="s">
        <v>193</v>
      </c>
      <c r="D5" t="s">
        <v>194</v>
      </c>
      <c r="E5" t="s">
        <v>161</v>
      </c>
      <c r="F5" t="s">
        <v>195</v>
      </c>
    </row>
    <row r="6" spans="1:6">
      <c r="A6" t="s">
        <v>181</v>
      </c>
      <c r="B6" t="s">
        <v>196</v>
      </c>
      <c r="C6" t="s">
        <v>197</v>
      </c>
      <c r="D6" t="s">
        <v>198</v>
      </c>
      <c r="E6" t="s">
        <v>161</v>
      </c>
      <c r="F6" t="s">
        <v>199</v>
      </c>
    </row>
    <row r="7" spans="1:6">
      <c r="A7" t="s">
        <v>152</v>
      </c>
      <c r="B7" t="s">
        <v>200</v>
      </c>
      <c r="C7" t="s">
        <v>201</v>
      </c>
      <c r="D7" t="s">
        <v>202</v>
      </c>
      <c r="E7" t="s">
        <v>161</v>
      </c>
      <c r="F7" t="s">
        <v>203</v>
      </c>
    </row>
    <row r="8" spans="1:6">
      <c r="A8" t="s">
        <v>152</v>
      </c>
      <c r="B8" t="s">
        <v>196</v>
      </c>
      <c r="C8" t="s">
        <v>204</v>
      </c>
      <c r="D8" t="s">
        <v>205</v>
      </c>
      <c r="E8" t="s">
        <v>161</v>
      </c>
      <c r="F8" t="s">
        <v>206</v>
      </c>
    </row>
    <row r="9" spans="1:6">
      <c r="A9" t="s">
        <v>152</v>
      </c>
      <c r="B9" t="s">
        <v>192</v>
      </c>
      <c r="C9" t="s">
        <v>207</v>
      </c>
      <c r="D9" t="s">
        <v>208</v>
      </c>
      <c r="E9" t="s">
        <v>161</v>
      </c>
      <c r="F9" t="s">
        <v>209</v>
      </c>
    </row>
    <row r="10" spans="1:6">
      <c r="A10" t="s">
        <v>210</v>
      </c>
      <c r="B10" t="s">
        <v>211</v>
      </c>
      <c r="C10" t="s">
        <v>212</v>
      </c>
      <c r="D10" t="s">
        <v>213</v>
      </c>
      <c r="E10" t="s">
        <v>161</v>
      </c>
      <c r="F10" t="s">
        <v>214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baseColWidth="10" defaultColWidth="8.6640625" defaultRowHeight="14"/>
  <cols>
    <col min="1" max="1" width="28" customWidth="1"/>
    <col min="2" max="2" width="96" customWidth="1"/>
  </cols>
  <sheetData>
    <row r="1" spans="1:2" ht="10" customHeight="1">
      <c r="A1" s="1" t="s">
        <v>215</v>
      </c>
      <c r="B1" s="1" t="s">
        <v>216</v>
      </c>
    </row>
    <row r="2" spans="1:2">
      <c r="A2" t="s">
        <v>217</v>
      </c>
      <c r="B2" t="s">
        <v>218</v>
      </c>
    </row>
    <row r="3" spans="1:2">
      <c r="A3" t="s">
        <v>219</v>
      </c>
      <c r="B3" t="s">
        <v>220</v>
      </c>
    </row>
    <row r="4" spans="1:2">
      <c r="A4" t="s">
        <v>221</v>
      </c>
      <c r="B4" t="s">
        <v>222</v>
      </c>
    </row>
    <row r="5" spans="1:2">
      <c r="A5" t="s">
        <v>223</v>
      </c>
      <c r="B5" t="s">
        <v>224</v>
      </c>
    </row>
    <row r="6" spans="1:2">
      <c r="A6" t="s">
        <v>225</v>
      </c>
      <c r="B6" t="s">
        <v>226</v>
      </c>
    </row>
    <row r="7" spans="1:2">
      <c r="A7" t="s">
        <v>227</v>
      </c>
      <c r="B7" t="s">
        <v>228</v>
      </c>
    </row>
    <row r="8" spans="1:2">
      <c r="A8" t="s">
        <v>210</v>
      </c>
      <c r="B8" t="s">
        <v>229</v>
      </c>
    </row>
    <row r="9" spans="1:2">
      <c r="A9" t="s">
        <v>230</v>
      </c>
      <c r="B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Dashboard</vt:lpstr>
      <vt:lpstr>Defectos_Priorizados</vt:lpstr>
      <vt:lpstr>Trazabilidad</vt:lpstr>
      <vt:lpstr>Metricas_Pruebas</vt:lpstr>
      <vt:lpstr>Pruebas_Carga</vt:lpstr>
      <vt:lpstr>Pipeline</vt:lpstr>
      <vt:lpstr>Informe_Tecnico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GONZALEZ MEJIA</dc:creator>
  <cp:lastModifiedBy>LUIS EDUARDO GONZALEZ MEJIA</cp:lastModifiedBy>
  <dcterms:created xsi:type="dcterms:W3CDTF">2026-06-20T19:24:56Z</dcterms:created>
  <dcterms:modified xsi:type="dcterms:W3CDTF">2026-06-20T19:24:56Z</dcterms:modified>
</cp:coreProperties>
</file>